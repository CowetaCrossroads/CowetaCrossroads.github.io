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ublic\01222A\Desktop\Github_Website\"/>
    </mc:Choice>
  </mc:AlternateContent>
  <bookViews>
    <workbookView xWindow="0" yWindow="0" windowWidth="28800" windowHeight="11400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" l="1"/>
  <c r="D23" i="1"/>
  <c r="E23" i="1"/>
  <c r="F23" i="1"/>
  <c r="G23" i="1"/>
  <c r="H23" i="1"/>
  <c r="I23" i="1"/>
  <c r="J23" i="1"/>
  <c r="K23" i="1"/>
  <c r="L23" i="1"/>
  <c r="M23" i="1"/>
  <c r="C21" i="1"/>
  <c r="D21" i="1"/>
  <c r="E21" i="1"/>
  <c r="F21" i="1"/>
  <c r="G21" i="1"/>
  <c r="H21" i="1"/>
  <c r="I21" i="1"/>
  <c r="J21" i="1"/>
  <c r="K21" i="1"/>
  <c r="L21" i="1"/>
  <c r="M21" i="1"/>
  <c r="C19" i="1"/>
  <c r="D19" i="1"/>
  <c r="E19" i="1"/>
  <c r="F19" i="1"/>
  <c r="G19" i="1"/>
  <c r="H19" i="1"/>
  <c r="I19" i="1"/>
  <c r="J19" i="1"/>
  <c r="K19" i="1"/>
  <c r="L19" i="1"/>
  <c r="M19" i="1"/>
  <c r="C17" i="1"/>
  <c r="D17" i="1"/>
  <c r="E17" i="1"/>
  <c r="F17" i="1"/>
  <c r="G17" i="1"/>
  <c r="H17" i="1"/>
  <c r="I17" i="1"/>
  <c r="J17" i="1"/>
  <c r="K17" i="1"/>
  <c r="L17" i="1"/>
  <c r="M17" i="1"/>
  <c r="C15" i="1"/>
  <c r="D15" i="1"/>
  <c r="E15" i="1"/>
  <c r="F15" i="1"/>
  <c r="G15" i="1"/>
  <c r="H15" i="1"/>
  <c r="I15" i="1"/>
  <c r="J15" i="1"/>
  <c r="K15" i="1"/>
  <c r="L15" i="1"/>
  <c r="M15" i="1"/>
  <c r="B23" i="1"/>
  <c r="B21" i="1"/>
  <c r="B19" i="1"/>
  <c r="B17" i="1"/>
  <c r="B15" i="1"/>
  <c r="C13" i="1"/>
  <c r="D13" i="1"/>
  <c r="E13" i="1"/>
  <c r="F13" i="1"/>
  <c r="G13" i="1"/>
  <c r="H13" i="1"/>
  <c r="I13" i="1"/>
  <c r="J13" i="1"/>
  <c r="K13" i="1"/>
  <c r="L13" i="1"/>
  <c r="M13" i="1"/>
  <c r="B13" i="1"/>
  <c r="C11" i="1"/>
  <c r="D11" i="1"/>
  <c r="E11" i="1"/>
  <c r="F11" i="1"/>
  <c r="G11" i="1"/>
  <c r="H11" i="1"/>
  <c r="I11" i="1"/>
  <c r="J11" i="1"/>
  <c r="K11" i="1"/>
  <c r="L11" i="1"/>
  <c r="M11" i="1"/>
  <c r="B11" i="1"/>
  <c r="C9" i="1"/>
  <c r="D9" i="1"/>
  <c r="E9" i="1"/>
  <c r="F9" i="1"/>
  <c r="G9" i="1"/>
  <c r="H9" i="1"/>
  <c r="I9" i="1"/>
  <c r="J9" i="1"/>
  <c r="K9" i="1"/>
  <c r="L9" i="1"/>
  <c r="M9" i="1"/>
  <c r="B9" i="1"/>
  <c r="C7" i="1"/>
  <c r="D7" i="1"/>
  <c r="E7" i="1"/>
  <c r="F7" i="1"/>
  <c r="G7" i="1"/>
  <c r="H7" i="1"/>
  <c r="I7" i="1"/>
  <c r="J7" i="1"/>
  <c r="K7" i="1"/>
  <c r="L7" i="1"/>
  <c r="M7" i="1"/>
  <c r="B7" i="1"/>
  <c r="C5" i="1"/>
  <c r="D5" i="1"/>
  <c r="E5" i="1"/>
  <c r="F5" i="1"/>
  <c r="G5" i="1"/>
  <c r="H5" i="1"/>
  <c r="I5" i="1"/>
  <c r="J5" i="1"/>
  <c r="K5" i="1"/>
  <c r="L5" i="1"/>
  <c r="M5" i="1"/>
  <c r="B5" i="1"/>
  <c r="C25" i="1"/>
  <c r="D25" i="1"/>
  <c r="E25" i="1"/>
  <c r="F25" i="1"/>
  <c r="G25" i="1"/>
  <c r="H25" i="1"/>
  <c r="I25" i="1"/>
  <c r="J25" i="1"/>
  <c r="K25" i="1"/>
  <c r="L25" i="1"/>
  <c r="M25" i="1"/>
  <c r="B25" i="1"/>
</calcChain>
</file>

<file path=xl/sharedStrings.xml><?xml version="1.0" encoding="utf-8"?>
<sst xmlns="http://schemas.openxmlformats.org/spreadsheetml/2006/main" count="47" uniqueCount="42">
  <si>
    <t xml:space="preserve">Sales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</si>
  <si>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</si>
  <si>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</si>
  <si>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</si>
  <si>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</si>
  <si>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</si>
  <si>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</si>
  <si>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</si>
  <si>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</si>
  <si>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</si>
  <si>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</si>
  <si>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</si>
  <si>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Profits</t>
  </si>
  <si>
    <t>FoodCost</t>
  </si>
  <si>
    <t>Labor %</t>
  </si>
  <si>
    <t>PFFC</t>
  </si>
  <si>
    <t xml:space="preserve">Health Score </t>
  </si>
  <si>
    <t xml:space="preserve">Taste </t>
  </si>
  <si>
    <t>Temp</t>
  </si>
  <si>
    <t>S.O.S</t>
  </si>
  <si>
    <t>Order Accuracy</t>
  </si>
  <si>
    <t>ACE</t>
  </si>
  <si>
    <t>Cleanliness</t>
  </si>
  <si>
    <t>Food Cost</t>
  </si>
  <si>
    <t>Labor</t>
  </si>
  <si>
    <t>PFFG</t>
  </si>
  <si>
    <t>Health Score</t>
  </si>
  <si>
    <t>Taste</t>
  </si>
  <si>
    <t>Category</t>
  </si>
  <si>
    <t>Jan</t>
  </si>
  <si>
    <t>Target Profits</t>
  </si>
  <si>
    <t>Target Food Cost</t>
  </si>
  <si>
    <t>Target Labor %</t>
  </si>
  <si>
    <t>Target PFFC</t>
  </si>
  <si>
    <t>Target Health Score</t>
  </si>
  <si>
    <t>Target Cleanliness</t>
  </si>
  <si>
    <t>Target Taste</t>
  </si>
  <si>
    <t>Target Temp</t>
  </si>
  <si>
    <t>Target Order Accuracy</t>
  </si>
  <si>
    <t>Target S.O.S.</t>
  </si>
  <si>
    <t>S.O.S.</t>
  </si>
  <si>
    <t>Targer 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</si>
</sst>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Sales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Sheet1!$B$2:$M$2</c:f>
              <c:numCache>
                <c:formatCode>_(* #,##0.00_);_(* \(#,##0.00\);_(* "-"??_);_(@_)</c:formatCode>
                <c:ptCount val="12"/>
                <c:pt idx="0">
                  <c:v>511511</c:v>
                </c:pt>
                <c:pt idx="1">
                  <c:v>483050</c:v>
                </c:pt>
                <c:pt idx="2">
                  <c:v>612841</c:v>
                </c:pt>
                <c:pt idx="3">
                  <c:v>589300</c:v>
                </c:pt>
                <c:pt idx="4">
                  <c:v>621618</c:v>
                </c:pt>
                <c:pt idx="5">
                  <c:v>600083</c:v>
                </c:pt>
                <c:pt idx="6">
                  <c:v>622222</c:v>
                </c:pt>
                <c:pt idx="7">
                  <c:v>586442</c:v>
                </c:pt>
                <c:pt idx="8">
                  <c:v>585854</c:v>
                </c:pt>
                <c:pt idx="9">
                  <c:v>583700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9-4290-B4E7-810929C71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in val="4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Profits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Sheet1!$B$4:$M$4</c:f>
              <c:numCache>
                <c:formatCode>General</c:formatCode>
                <c:ptCount val="12"/>
                <c:pt idx="0">
                  <c:v>11.74</c:v>
                </c:pt>
                <c:pt idx="1">
                  <c:v>9.1199999999999992</c:v>
                </c:pt>
                <c:pt idx="2">
                  <c:v>15.76</c:v>
                </c:pt>
                <c:pt idx="3">
                  <c:v>14.72</c:v>
                </c:pt>
                <c:pt idx="4">
                  <c:v>14.93</c:v>
                </c:pt>
                <c:pt idx="5">
                  <c:v>14.95</c:v>
                </c:pt>
                <c:pt idx="6">
                  <c:v>13.09</c:v>
                </c:pt>
                <c:pt idx="7">
                  <c:v>9.9600000000000009</c:v>
                </c:pt>
                <c:pt idx="8">
                  <c:v>12.64</c:v>
                </c:pt>
                <c:pt idx="9">
                  <c:v>14.84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E-4AB2-AE3F-9AB9FCF744C0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Target Profits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Sheet1!$B$5:$M$5</c:f>
              <c:numCache>
                <c:formatCode>General</c:formatCode>
                <c:ptCount val="1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7E-4AB2-AE3F-9AB9FCF74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 Cost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FoodCost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Sheet1!$B$6:$M$6</c:f>
              <c:numCache>
                <c:formatCode>General</c:formatCode>
                <c:ptCount val="12"/>
                <c:pt idx="0">
                  <c:v>27.04</c:v>
                </c:pt>
                <c:pt idx="1">
                  <c:v>27.2</c:v>
                </c:pt>
                <c:pt idx="2">
                  <c:v>27.11</c:v>
                </c:pt>
                <c:pt idx="3">
                  <c:v>25.83</c:v>
                </c:pt>
                <c:pt idx="4">
                  <c:v>26.27</c:v>
                </c:pt>
                <c:pt idx="5">
                  <c:v>24.76</c:v>
                </c:pt>
                <c:pt idx="6">
                  <c:v>28.19</c:v>
                </c:pt>
                <c:pt idx="7">
                  <c:v>28.99</c:v>
                </c:pt>
                <c:pt idx="8">
                  <c:v>28.05</c:v>
                </c:pt>
                <c:pt idx="9">
                  <c:v>28.4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D-49C5-AFB0-DB2DB4B4885C}"/>
            </c:ext>
          </c:extLst>
        </c:ser>
        <c:ser>
          <c:idx val="1"/>
          <c:order val="1"/>
          <c:tx>
            <c:strRef>
              <c:f>Sheet1!$A$7</c:f>
              <c:strCache>
                <c:ptCount val="1"/>
                <c:pt idx="0">
                  <c:v>Target Food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Sheet1!$B$7:$M$7</c:f>
              <c:numCache>
                <c:formatCode>General</c:formatCode>
                <c:ptCount val="12"/>
                <c:pt idx="0">
                  <c:v>27.5</c:v>
                </c:pt>
                <c:pt idx="1">
                  <c:v>27.5</c:v>
                </c:pt>
                <c:pt idx="2">
                  <c:v>27.5</c:v>
                </c:pt>
                <c:pt idx="3">
                  <c:v>27.5</c:v>
                </c:pt>
                <c:pt idx="4">
                  <c:v>27.5</c:v>
                </c:pt>
                <c:pt idx="5">
                  <c:v>27.5</c:v>
                </c:pt>
                <c:pt idx="6">
                  <c:v>27.5</c:v>
                </c:pt>
                <c:pt idx="7">
                  <c:v>27.5</c:v>
                </c:pt>
                <c:pt idx="8">
                  <c:v>27.5</c:v>
                </c:pt>
                <c:pt idx="9">
                  <c:v>27.5</c:v>
                </c:pt>
                <c:pt idx="10">
                  <c:v>27.5</c:v>
                </c:pt>
                <c:pt idx="11">
                  <c:v>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D-49C5-AFB0-DB2DB4B4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Labor %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Sheet1!$A$8</c:f>
              <c:strCache>
                <c:ptCount val="1"/>
                <c:pt idx="0">
                  <c:v>Labor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Sheet1!$B$8:$M$8</c:f>
              <c:numCache>
                <c:formatCode>General</c:formatCode>
                <c:ptCount val="12"/>
                <c:pt idx="0">
                  <c:v>22.13</c:v>
                </c:pt>
                <c:pt idx="1">
                  <c:v>22.14</c:v>
                </c:pt>
                <c:pt idx="2">
                  <c:v>19.22</c:v>
                </c:pt>
                <c:pt idx="3">
                  <c:v>20.81</c:v>
                </c:pt>
                <c:pt idx="4">
                  <c:v>19.309999999999999</c:v>
                </c:pt>
                <c:pt idx="5">
                  <c:v>20.85</c:v>
                </c:pt>
                <c:pt idx="6">
                  <c:v>19.77</c:v>
                </c:pt>
                <c:pt idx="7">
                  <c:v>20.41</c:v>
                </c:pt>
                <c:pt idx="8">
                  <c:v>20.100000000000001</c:v>
                </c:pt>
                <c:pt idx="9">
                  <c:v>19.55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8C-48F0-9A5D-82AF420DBFD6}"/>
            </c:ext>
          </c:extLst>
        </c:ser>
        <c:ser>
          <c:idx val="1"/>
          <c:order val="1"/>
          <c:tx>
            <c:strRef>
              <c:f>Sheet1!$A$9</c:f>
              <c:strCache>
                <c:ptCount val="1"/>
                <c:pt idx="0">
                  <c:v>Target Labor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Sheet1!$B$9:$M$9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8C-48F0-9A5D-82AF420DB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PFFG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Sheet1!$A$10</c:f>
              <c:strCache>
                <c:ptCount val="1"/>
                <c:pt idx="0">
                  <c:v>PFFC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Sheet1!$B$10:$M$10</c:f>
              <c:numCache>
                <c:formatCode>General</c:formatCode>
                <c:ptCount val="12"/>
                <c:pt idx="0">
                  <c:v>0.71</c:v>
                </c:pt>
                <c:pt idx="1">
                  <c:v>0.61</c:v>
                </c:pt>
                <c:pt idx="2">
                  <c:v>0.82</c:v>
                </c:pt>
                <c:pt idx="3">
                  <c:v>1.1399999999999999</c:v>
                </c:pt>
                <c:pt idx="4">
                  <c:v>1.55</c:v>
                </c:pt>
                <c:pt idx="5">
                  <c:v>0.04</c:v>
                </c:pt>
                <c:pt idx="6">
                  <c:v>1.24</c:v>
                </c:pt>
                <c:pt idx="7">
                  <c:v>1.39</c:v>
                </c:pt>
                <c:pt idx="8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4-4700-B457-40E670F73989}"/>
            </c:ext>
          </c:extLst>
        </c:ser>
        <c:ser>
          <c:idx val="1"/>
          <c:order val="1"/>
          <c:tx>
            <c:strRef>
              <c:f>Sheet1!$A$11</c:f>
              <c:strCache>
                <c:ptCount val="1"/>
                <c:pt idx="0">
                  <c:v>Target PFFC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Sheet1!$B$11:$M$11</c:f>
              <c:numCache>
                <c:formatCode>General</c:formatCode>
                <c:ptCount val="1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4-4700-B457-40E670F73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.8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Heath</a:t>
            </a:r>
            <a:r>
              <a:rPr lang="en-US" baseline="0"/>
              <a:t> Score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Health Score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Sheet1!$B$12:$M$12</c:f>
              <c:numCache>
                <c:formatCode>General</c:formatCode>
                <c:ptCount val="12"/>
                <c:pt idx="2">
                  <c:v>95</c:v>
                </c:pt>
                <c:pt idx="7">
                  <c:v>92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B-4F04-B303-CAB9FC93FE0B}"/>
            </c:ext>
          </c:extLst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Target Health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Sheet1!$B$13:$M$13</c:f>
              <c:numCache>
                <c:formatCode>General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B-4F04-B303-CAB9FC93F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0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Sheet1!$A$14</c:f>
              <c:strCache>
                <c:ptCount val="1"/>
                <c:pt idx="0">
                  <c:v>Taste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Sheet1!$B$14:$M$14</c:f>
              <c:numCache>
                <c:formatCode>General</c:formatCode>
                <c:ptCount val="12"/>
                <c:pt idx="0">
                  <c:v>82</c:v>
                </c:pt>
                <c:pt idx="1">
                  <c:v>81</c:v>
                </c:pt>
                <c:pt idx="2">
                  <c:v>80</c:v>
                </c:pt>
                <c:pt idx="3">
                  <c:v>81</c:v>
                </c:pt>
                <c:pt idx="4">
                  <c:v>76</c:v>
                </c:pt>
                <c:pt idx="5">
                  <c:v>75</c:v>
                </c:pt>
                <c:pt idx="6">
                  <c:v>82</c:v>
                </c:pt>
                <c:pt idx="7">
                  <c:v>77</c:v>
                </c:pt>
                <c:pt idx="8">
                  <c:v>68</c:v>
                </c:pt>
                <c:pt idx="9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B-4842-BB47-43D0AC58EA68}"/>
            </c:ext>
          </c:extLst>
        </c:ser>
        <c:ser>
          <c:idx val="1"/>
          <c:order val="1"/>
          <c:tx>
            <c:strRef>
              <c:f>Sheet1!$A$15</c:f>
              <c:strCache>
                <c:ptCount val="1"/>
                <c:pt idx="0">
                  <c:v>Target Taste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Sheet1!$B$15:$M$15</c:f>
              <c:numCache>
                <c:formatCode>General</c:formatCode>
                <c:ptCount val="12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B-4842-BB47-43D0AC58E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Sheet1!$A$16</c:f>
              <c:strCache>
                <c:ptCount val="1"/>
                <c:pt idx="0">
                  <c:v>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Sheet1!$B$16:$M$16</c:f>
              <c:numCache>
                <c:formatCode>General</c:formatCode>
                <c:ptCount val="12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73</c:v>
                </c:pt>
                <c:pt idx="6">
                  <c:v>81</c:v>
                </c:pt>
                <c:pt idx="7">
                  <c:v>72</c:v>
                </c:pt>
                <c:pt idx="8">
                  <c:v>68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7A-43BA-8540-5EDFCC587DE0}"/>
            </c:ext>
          </c:extLst>
        </c:ser>
        <c:ser>
          <c:idx val="1"/>
          <c:order val="1"/>
          <c:tx>
            <c:strRef>
              <c:f>Sheet1!$A$17</c:f>
              <c:strCache>
                <c:ptCount val="1"/>
                <c:pt idx="0">
                  <c:v>Target Temp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Sheet1!$B$17:$M$17</c:f>
              <c:numCache>
                <c:formatCode>General</c:formatCode>
                <c:ptCount val="12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7A-43BA-8540-5EDFCC587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 Accuracy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Sheet1!$A$18</c:f>
              <c:strCache>
                <c:ptCount val="1"/>
                <c:pt idx="0">
                  <c:v>Order 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Sheet1!$B$18:$M$18</c:f>
              <c:numCache>
                <c:formatCode>General</c:formatCode>
                <c:ptCount val="12"/>
                <c:pt idx="0">
                  <c:v>94</c:v>
                </c:pt>
                <c:pt idx="1">
                  <c:v>96</c:v>
                </c:pt>
                <c:pt idx="2">
                  <c:v>94</c:v>
                </c:pt>
                <c:pt idx="3">
                  <c:v>95</c:v>
                </c:pt>
                <c:pt idx="4">
                  <c:v>98</c:v>
                </c:pt>
                <c:pt idx="5">
                  <c:v>94</c:v>
                </c:pt>
                <c:pt idx="6">
                  <c:v>94</c:v>
                </c:pt>
                <c:pt idx="7">
                  <c:v>93</c:v>
                </c:pt>
                <c:pt idx="8">
                  <c:v>95</c:v>
                </c:pt>
                <c:pt idx="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A-4982-804A-06799B3F3548}"/>
            </c:ext>
          </c:extLst>
        </c:ser>
        <c:ser>
          <c:idx val="1"/>
          <c:order val="1"/>
          <c:tx>
            <c:strRef>
              <c:f>Sheet1!$A$19</c:f>
              <c:strCache>
                <c:ptCount val="1"/>
                <c:pt idx="0">
                  <c:v>Target Order Accuracy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Sheet1!$B$19:$M$19</c:f>
              <c:numCache>
                <c:formatCode>General</c:formatCode>
                <c:ptCount val="12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A-4982-804A-06799B3F3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0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S.O.S.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Sheet1!$A$20</c:f>
              <c:strCache>
                <c:ptCount val="1"/>
                <c:pt idx="0">
                  <c:v>S.O.S.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Sheet1!$B$20:$M$20</c:f>
              <c:numCache>
                <c:formatCode>General</c:formatCode>
                <c:ptCount val="12"/>
                <c:pt idx="0">
                  <c:v>78</c:v>
                </c:pt>
                <c:pt idx="1">
                  <c:v>76</c:v>
                </c:pt>
                <c:pt idx="2">
                  <c:v>69</c:v>
                </c:pt>
                <c:pt idx="3">
                  <c:v>68</c:v>
                </c:pt>
                <c:pt idx="4">
                  <c:v>73</c:v>
                </c:pt>
                <c:pt idx="5">
                  <c:v>66</c:v>
                </c:pt>
                <c:pt idx="6">
                  <c:v>69</c:v>
                </c:pt>
                <c:pt idx="7">
                  <c:v>59</c:v>
                </c:pt>
                <c:pt idx="8">
                  <c:v>64</c:v>
                </c:pt>
                <c:pt idx="9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3-469F-8C1E-52FE81025290}"/>
            </c:ext>
          </c:extLst>
        </c:ser>
        <c:ser>
          <c:idx val="1"/>
          <c:order val="1"/>
          <c:tx>
            <c:strRef>
              <c:f>Sheet1!$A$21</c:f>
              <c:strCache>
                <c:ptCount val="1"/>
                <c:pt idx="0">
                  <c:v>Target S.O.S.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Sheet1!$B$21:$M$21</c:f>
              <c:numCache>
                <c:formatCode>General</c:formatCode>
                <c:ptCount val="12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3-469F-8C1E-52FE81025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Sheet1!$A$22</c:f>
              <c:strCache>
                <c:ptCount val="1"/>
                <c:pt idx="0">
                  <c:v>ACE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Sheet1!$B$22:$M$22</c:f>
              <c:numCache>
                <c:formatCode>General</c:formatCode>
                <c:ptCount val="12"/>
                <c:pt idx="0">
                  <c:v>91</c:v>
                </c:pt>
                <c:pt idx="1">
                  <c:v>84</c:v>
                </c:pt>
                <c:pt idx="2">
                  <c:v>77</c:v>
                </c:pt>
                <c:pt idx="3">
                  <c:v>78</c:v>
                </c:pt>
                <c:pt idx="4">
                  <c:v>77</c:v>
                </c:pt>
                <c:pt idx="5">
                  <c:v>74</c:v>
                </c:pt>
                <c:pt idx="6">
                  <c:v>83</c:v>
                </c:pt>
                <c:pt idx="7">
                  <c:v>73</c:v>
                </c:pt>
                <c:pt idx="8">
                  <c:v>72</c:v>
                </c:pt>
                <c:pt idx="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F-4380-87E8-60C37151B83C}"/>
            </c:ext>
          </c:extLst>
        </c:ser>
        <c:ser>
          <c:idx val="1"/>
          <c:order val="1"/>
          <c:tx>
            <c:strRef>
              <c:f>Sheet1!$A$23</c:f>
              <c:strCache>
                <c:ptCount val="1"/>
                <c:pt idx="0">
                  <c:v>Targer ACE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Sheet1!$B$23:$M$23</c:f>
              <c:numCache>
                <c:formatCode>General</c:formatCode>
                <c:ptCount val="12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F-4380-87E8-60C37151B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5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Cleanliness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Sheet1!$A$24</c:f>
              <c:strCache>
                <c:ptCount val="1"/>
                <c:pt idx="0">
                  <c:v>Cleanliness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Sheet1!$B$24:$M$24</c:f>
              <c:numCache>
                <c:formatCode>General</c:formatCode>
                <c:ptCount val="12"/>
                <c:pt idx="0">
                  <c:v>87</c:v>
                </c:pt>
                <c:pt idx="1">
                  <c:v>81</c:v>
                </c:pt>
                <c:pt idx="2">
                  <c:v>78</c:v>
                </c:pt>
                <c:pt idx="3">
                  <c:v>80</c:v>
                </c:pt>
                <c:pt idx="4">
                  <c:v>79</c:v>
                </c:pt>
                <c:pt idx="5">
                  <c:v>74</c:v>
                </c:pt>
                <c:pt idx="6">
                  <c:v>77</c:v>
                </c:pt>
                <c:pt idx="7">
                  <c:v>74</c:v>
                </c:pt>
                <c:pt idx="8">
                  <c:v>67</c:v>
                </c:pt>
                <c:pt idx="9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5-4D16-B4F8-B9A67064F839}"/>
            </c:ext>
          </c:extLst>
        </c:ser>
        <c:ser>
          <c:idx val="1"/>
          <c:order val="1"/>
          <c:tx>
            <c:strRef>
              <c:f>Sheet1!$A$25</c:f>
              <c:strCache>
                <c:ptCount val="1"/>
                <c:pt idx="0">
                  <c:v>Target Cleanliness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Sheet1!$B$25:$M$25</c:f>
              <c:numCache>
                <c:formatCode>General</c:formatCode>
                <c:ptCount val="12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5-4D16-B4F8-B9A67064F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590550</xdr:colOff>
      <xdr:row>23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</xdr:row>
      <xdr:rowOff>0</xdr:rowOff>
    </xdr:from>
    <xdr:to>
      <xdr:col>23</xdr:col>
      <xdr:colOff>590550</xdr:colOff>
      <xdr:row>23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590550</xdr:colOff>
      <xdr:row>47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25</xdr:row>
      <xdr:rowOff>9525</xdr:rowOff>
    </xdr:from>
    <xdr:to>
      <xdr:col>24</xdr:col>
      <xdr:colOff>9525</xdr:colOff>
      <xdr:row>47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11</xdr:col>
      <xdr:colOff>590550</xdr:colOff>
      <xdr:row>71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49</xdr:row>
      <xdr:rowOff>0</xdr:rowOff>
    </xdr:from>
    <xdr:to>
      <xdr:col>23</xdr:col>
      <xdr:colOff>590550</xdr:colOff>
      <xdr:row>71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11</xdr:col>
      <xdr:colOff>590550</xdr:colOff>
      <xdr:row>96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74</xdr:row>
      <xdr:rowOff>0</xdr:rowOff>
    </xdr:from>
    <xdr:to>
      <xdr:col>23</xdr:col>
      <xdr:colOff>590550</xdr:colOff>
      <xdr:row>96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98</xdr:row>
      <xdr:rowOff>0</xdr:rowOff>
    </xdr:from>
    <xdr:to>
      <xdr:col>11</xdr:col>
      <xdr:colOff>590550</xdr:colOff>
      <xdr:row>120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98</xdr:row>
      <xdr:rowOff>0</xdr:rowOff>
    </xdr:from>
    <xdr:to>
      <xdr:col>23</xdr:col>
      <xdr:colOff>590550</xdr:colOff>
      <xdr:row>120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123</xdr:row>
      <xdr:rowOff>0</xdr:rowOff>
    </xdr:from>
    <xdr:to>
      <xdr:col>11</xdr:col>
      <xdr:colOff>590550</xdr:colOff>
      <xdr:row>145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123</xdr:row>
      <xdr:rowOff>0</xdr:rowOff>
    </xdr:from>
    <xdr:to>
      <xdr:col>23</xdr:col>
      <xdr:colOff>590550</xdr:colOff>
      <xdr:row>145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9"/>
  <sheetViews>
    <sheetView workbookViewId="0">
      <selection activeCell="A3" sqref="A3"/>
    </sheetView>
  </sheetViews>
  <sheetFormatPr defaultRowHeight="15" x14ac:dyDescent="0.25"/>
  <cols>
    <col min="1" max="1" width="18.42578125" bestFit="1" customWidth="1"/>
    <col min="2" max="11" width="11.5703125" bestFit="1" customWidth="1"/>
  </cols>
  <sheetData>
    <row r="1" spans="1:13" x14ac:dyDescent="0.25">
      <c r="A1" t="s">
        <v>28</v>
      </c>
      <c r="B1" s="1" t="s">
        <v>29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0</v>
      </c>
      <c r="B2" s="2">
        <v>511511</v>
      </c>
      <c r="C2" s="2">
        <v>483050</v>
      </c>
      <c r="D2" s="2">
        <v>612841</v>
      </c>
      <c r="E2" s="2">
        <v>589300</v>
      </c>
      <c r="F2" s="2">
        <v>621618</v>
      </c>
      <c r="G2" s="2">
        <v>600083</v>
      </c>
      <c r="H2" s="2">
        <v>622222</v>
      </c>
      <c r="I2" s="2">
        <v>586442</v>
      </c>
      <c r="J2" s="2">
        <v>585854</v>
      </c>
      <c r="K2" s="2">
        <v>583700</v>
      </c>
      <c r="L2" s="2"/>
      <c r="M2" s="2"/>
    </row>
    <row r="3" spans="1:1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25">
      <c r="A4" t="s">
        <v>12</v>
      </c>
      <c r="B4">
        <v>11.74</v>
      </c>
      <c r="C4">
        <v>9.1199999999999992</v>
      </c>
      <c r="D4">
        <v>15.76</v>
      </c>
      <c r="E4">
        <v>14.72</v>
      </c>
      <c r="F4">
        <v>14.93</v>
      </c>
      <c r="G4">
        <v>14.95</v>
      </c>
      <c r="H4">
        <v>13.09</v>
      </c>
      <c r="I4">
        <v>9.9600000000000009</v>
      </c>
      <c r="J4">
        <v>12.64</v>
      </c>
      <c r="K4">
        <v>14.84</v>
      </c>
    </row>
    <row r="5" spans="1:13" x14ac:dyDescent="0.25">
      <c r="A5" t="s">
        <v>30</v>
      </c>
      <c r="B5">
        <f t="shared" ref="B5:M5" si="0">$B$29</f>
        <v>14</v>
      </c>
      <c r="C5">
        <f t="shared" si="0"/>
        <v>14</v>
      </c>
      <c r="D5">
        <f t="shared" si="0"/>
        <v>14</v>
      </c>
      <c r="E5">
        <f t="shared" si="0"/>
        <v>14</v>
      </c>
      <c r="F5">
        <f t="shared" si="0"/>
        <v>14</v>
      </c>
      <c r="G5">
        <f t="shared" si="0"/>
        <v>14</v>
      </c>
      <c r="H5">
        <f t="shared" si="0"/>
        <v>14</v>
      </c>
      <c r="I5">
        <f t="shared" si="0"/>
        <v>14</v>
      </c>
      <c r="J5">
        <f t="shared" si="0"/>
        <v>14</v>
      </c>
      <c r="K5">
        <f t="shared" si="0"/>
        <v>14</v>
      </c>
      <c r="L5">
        <f t="shared" si="0"/>
        <v>14</v>
      </c>
      <c r="M5">
        <f t="shared" si="0"/>
        <v>14</v>
      </c>
    </row>
    <row r="6" spans="1:13" x14ac:dyDescent="0.25">
      <c r="A6" t="s">
        <v>13</v>
      </c>
      <c r="B6">
        <v>27.04</v>
      </c>
      <c r="C6">
        <v>27.2</v>
      </c>
      <c r="D6">
        <v>27.11</v>
      </c>
      <c r="E6">
        <v>25.83</v>
      </c>
      <c r="F6">
        <v>26.27</v>
      </c>
      <c r="G6">
        <v>24.76</v>
      </c>
      <c r="H6">
        <v>28.19</v>
      </c>
      <c r="I6">
        <v>28.99</v>
      </c>
      <c r="J6">
        <v>28.05</v>
      </c>
      <c r="K6">
        <v>28.4</v>
      </c>
    </row>
    <row r="7" spans="1:13" x14ac:dyDescent="0.25">
      <c r="A7" t="s">
        <v>31</v>
      </c>
      <c r="B7">
        <f>$B$30</f>
        <v>27.5</v>
      </c>
      <c r="C7">
        <f t="shared" ref="C7:M7" si="1">$B$30</f>
        <v>27.5</v>
      </c>
      <c r="D7">
        <f t="shared" si="1"/>
        <v>27.5</v>
      </c>
      <c r="E7">
        <f t="shared" si="1"/>
        <v>27.5</v>
      </c>
      <c r="F7">
        <f t="shared" si="1"/>
        <v>27.5</v>
      </c>
      <c r="G7">
        <f t="shared" si="1"/>
        <v>27.5</v>
      </c>
      <c r="H7">
        <f t="shared" si="1"/>
        <v>27.5</v>
      </c>
      <c r="I7">
        <f t="shared" si="1"/>
        <v>27.5</v>
      </c>
      <c r="J7">
        <f t="shared" si="1"/>
        <v>27.5</v>
      </c>
      <c r="K7">
        <f t="shared" si="1"/>
        <v>27.5</v>
      </c>
      <c r="L7">
        <f t="shared" si="1"/>
        <v>27.5</v>
      </c>
      <c r="M7">
        <f t="shared" si="1"/>
        <v>27.5</v>
      </c>
    </row>
    <row r="8" spans="1:13" x14ac:dyDescent="0.25">
      <c r="A8" t="s">
        <v>14</v>
      </c>
      <c r="B8">
        <v>22.13</v>
      </c>
      <c r="C8">
        <v>22.14</v>
      </c>
      <c r="D8">
        <v>19.22</v>
      </c>
      <c r="E8">
        <v>20.81</v>
      </c>
      <c r="F8">
        <v>19.309999999999999</v>
      </c>
      <c r="G8">
        <v>20.85</v>
      </c>
      <c r="H8">
        <v>19.77</v>
      </c>
      <c r="I8">
        <v>20.41</v>
      </c>
      <c r="J8">
        <v>20.100000000000001</v>
      </c>
      <c r="K8">
        <v>19.55</v>
      </c>
    </row>
    <row r="9" spans="1:13" x14ac:dyDescent="0.25">
      <c r="A9" t="s">
        <v>32</v>
      </c>
      <c r="B9">
        <f>$B$31</f>
        <v>20</v>
      </c>
      <c r="C9">
        <f t="shared" ref="C9:M9" si="2">$B$31</f>
        <v>20</v>
      </c>
      <c r="D9">
        <f t="shared" si="2"/>
        <v>20</v>
      </c>
      <c r="E9">
        <f t="shared" si="2"/>
        <v>20</v>
      </c>
      <c r="F9">
        <f t="shared" si="2"/>
        <v>20</v>
      </c>
      <c r="G9">
        <f t="shared" si="2"/>
        <v>20</v>
      </c>
      <c r="H9">
        <f t="shared" si="2"/>
        <v>20</v>
      </c>
      <c r="I9">
        <f t="shared" si="2"/>
        <v>20</v>
      </c>
      <c r="J9">
        <f t="shared" si="2"/>
        <v>20</v>
      </c>
      <c r="K9">
        <f t="shared" si="2"/>
        <v>20</v>
      </c>
      <c r="L9">
        <f t="shared" si="2"/>
        <v>20</v>
      </c>
      <c r="M9">
        <f t="shared" si="2"/>
        <v>20</v>
      </c>
    </row>
    <row r="10" spans="1:13" x14ac:dyDescent="0.25">
      <c r="A10" t="s">
        <v>15</v>
      </c>
      <c r="B10">
        <v>0.71</v>
      </c>
      <c r="C10">
        <v>0.61</v>
      </c>
      <c r="D10">
        <v>0.82</v>
      </c>
      <c r="E10">
        <v>1.1399999999999999</v>
      </c>
      <c r="F10">
        <v>1.55</v>
      </c>
      <c r="G10">
        <v>0.04</v>
      </c>
      <c r="H10">
        <v>1.24</v>
      </c>
      <c r="I10">
        <v>1.39</v>
      </c>
      <c r="J10">
        <v>0.68</v>
      </c>
    </row>
    <row r="11" spans="1:13" x14ac:dyDescent="0.25">
      <c r="A11" t="s">
        <v>33</v>
      </c>
      <c r="B11">
        <f>$B$32</f>
        <v>0.5</v>
      </c>
      <c r="C11">
        <f t="shared" ref="C11:M11" si="3">$B$32</f>
        <v>0.5</v>
      </c>
      <c r="D11">
        <f t="shared" si="3"/>
        <v>0.5</v>
      </c>
      <c r="E11">
        <f t="shared" si="3"/>
        <v>0.5</v>
      </c>
      <c r="F11">
        <f t="shared" si="3"/>
        <v>0.5</v>
      </c>
      <c r="G11">
        <f t="shared" si="3"/>
        <v>0.5</v>
      </c>
      <c r="H11">
        <f t="shared" si="3"/>
        <v>0.5</v>
      </c>
      <c r="I11">
        <f t="shared" si="3"/>
        <v>0.5</v>
      </c>
      <c r="J11">
        <f t="shared" si="3"/>
        <v>0.5</v>
      </c>
      <c r="K11">
        <f t="shared" si="3"/>
        <v>0.5</v>
      </c>
      <c r="L11">
        <f t="shared" si="3"/>
        <v>0.5</v>
      </c>
      <c r="M11">
        <f t="shared" si="3"/>
        <v>0.5</v>
      </c>
    </row>
    <row r="12" spans="1:13" x14ac:dyDescent="0.25">
      <c r="A12" t="s">
        <v>16</v>
      </c>
      <c r="D12">
        <v>95</v>
      </c>
      <c r="I12">
        <v>92</v>
      </c>
      <c r="K12">
        <v>98</v>
      </c>
    </row>
    <row r="13" spans="1:13" x14ac:dyDescent="0.25">
      <c r="A13" t="s">
        <v>34</v>
      </c>
      <c r="B13">
        <f>$B$33</f>
        <v>100</v>
      </c>
      <c r="C13">
        <f t="shared" ref="C13:M13" si="4">$B$33</f>
        <v>100</v>
      </c>
      <c r="D13">
        <f t="shared" si="4"/>
        <v>100</v>
      </c>
      <c r="E13">
        <f t="shared" si="4"/>
        <v>100</v>
      </c>
      <c r="F13">
        <f t="shared" si="4"/>
        <v>100</v>
      </c>
      <c r="G13">
        <f t="shared" si="4"/>
        <v>100</v>
      </c>
      <c r="H13">
        <f t="shared" si="4"/>
        <v>100</v>
      </c>
      <c r="I13">
        <f t="shared" si="4"/>
        <v>100</v>
      </c>
      <c r="J13">
        <f t="shared" si="4"/>
        <v>100</v>
      </c>
      <c r="K13">
        <f t="shared" si="4"/>
        <v>100</v>
      </c>
      <c r="L13">
        <f t="shared" si="4"/>
        <v>100</v>
      </c>
      <c r="M13">
        <f t="shared" si="4"/>
        <v>100</v>
      </c>
    </row>
    <row r="14" spans="1:13" x14ac:dyDescent="0.25">
      <c r="A14" t="s">
        <v>17</v>
      </c>
      <c r="B14">
        <v>82</v>
      </c>
      <c r="C14">
        <v>81</v>
      </c>
      <c r="D14">
        <v>80</v>
      </c>
      <c r="E14">
        <v>81</v>
      </c>
      <c r="F14">
        <v>76</v>
      </c>
      <c r="G14">
        <v>75</v>
      </c>
      <c r="H14">
        <v>82</v>
      </c>
      <c r="I14">
        <v>77</v>
      </c>
      <c r="J14">
        <v>68</v>
      </c>
      <c r="K14">
        <v>78</v>
      </c>
    </row>
    <row r="15" spans="1:13" x14ac:dyDescent="0.25">
      <c r="A15" t="s">
        <v>36</v>
      </c>
      <c r="B15">
        <f>$B$34</f>
        <v>81</v>
      </c>
      <c r="C15">
        <f t="shared" ref="C15:M15" si="5">$B$34</f>
        <v>81</v>
      </c>
      <c r="D15">
        <f t="shared" si="5"/>
        <v>81</v>
      </c>
      <c r="E15">
        <f t="shared" si="5"/>
        <v>81</v>
      </c>
      <c r="F15">
        <f t="shared" si="5"/>
        <v>81</v>
      </c>
      <c r="G15">
        <f t="shared" si="5"/>
        <v>81</v>
      </c>
      <c r="H15">
        <f t="shared" si="5"/>
        <v>81</v>
      </c>
      <c r="I15">
        <f t="shared" si="5"/>
        <v>81</v>
      </c>
      <c r="J15">
        <f t="shared" si="5"/>
        <v>81</v>
      </c>
      <c r="K15">
        <f t="shared" si="5"/>
        <v>81</v>
      </c>
      <c r="L15">
        <f t="shared" si="5"/>
        <v>81</v>
      </c>
      <c r="M15">
        <f t="shared" si="5"/>
        <v>81</v>
      </c>
    </row>
    <row r="16" spans="1:13" x14ac:dyDescent="0.25">
      <c r="A16" t="s">
        <v>18</v>
      </c>
      <c r="B16">
        <v>79</v>
      </c>
      <c r="C16">
        <v>77</v>
      </c>
      <c r="D16">
        <v>75</v>
      </c>
      <c r="E16">
        <v>75</v>
      </c>
      <c r="F16">
        <v>76</v>
      </c>
      <c r="G16">
        <v>73</v>
      </c>
      <c r="H16">
        <v>81</v>
      </c>
      <c r="I16">
        <v>72</v>
      </c>
      <c r="J16">
        <v>68</v>
      </c>
      <c r="K16">
        <v>75</v>
      </c>
    </row>
    <row r="17" spans="1:13" x14ac:dyDescent="0.25">
      <c r="A17" t="s">
        <v>37</v>
      </c>
      <c r="B17">
        <f>$B$35</f>
        <v>78</v>
      </c>
      <c r="C17">
        <f t="shared" ref="C17:M17" si="6">$B$35</f>
        <v>78</v>
      </c>
      <c r="D17">
        <f t="shared" si="6"/>
        <v>78</v>
      </c>
      <c r="E17">
        <f t="shared" si="6"/>
        <v>78</v>
      </c>
      <c r="F17">
        <f t="shared" si="6"/>
        <v>78</v>
      </c>
      <c r="G17">
        <f t="shared" si="6"/>
        <v>78</v>
      </c>
      <c r="H17">
        <f t="shared" si="6"/>
        <v>78</v>
      </c>
      <c r="I17">
        <f t="shared" si="6"/>
        <v>78</v>
      </c>
      <c r="J17">
        <f t="shared" si="6"/>
        <v>78</v>
      </c>
      <c r="K17">
        <f t="shared" si="6"/>
        <v>78</v>
      </c>
      <c r="L17">
        <f t="shared" si="6"/>
        <v>78</v>
      </c>
      <c r="M17">
        <f t="shared" si="6"/>
        <v>78</v>
      </c>
    </row>
    <row r="18" spans="1:13" x14ac:dyDescent="0.25">
      <c r="A18" t="s">
        <v>20</v>
      </c>
      <c r="B18">
        <v>94</v>
      </c>
      <c r="C18">
        <v>96</v>
      </c>
      <c r="D18">
        <v>94</v>
      </c>
      <c r="E18">
        <v>95</v>
      </c>
      <c r="F18">
        <v>98</v>
      </c>
      <c r="G18">
        <v>94</v>
      </c>
      <c r="H18">
        <v>94</v>
      </c>
      <c r="I18">
        <v>93</v>
      </c>
      <c r="J18">
        <v>95</v>
      </c>
      <c r="K18">
        <v>95</v>
      </c>
    </row>
    <row r="19" spans="1:13" x14ac:dyDescent="0.25">
      <c r="A19" t="s">
        <v>38</v>
      </c>
      <c r="B19">
        <f>$B$36</f>
        <v>98</v>
      </c>
      <c r="C19">
        <f t="shared" ref="C19:M19" si="7">$B$36</f>
        <v>98</v>
      </c>
      <c r="D19">
        <f t="shared" si="7"/>
        <v>98</v>
      </c>
      <c r="E19">
        <f t="shared" si="7"/>
        <v>98</v>
      </c>
      <c r="F19">
        <f t="shared" si="7"/>
        <v>98</v>
      </c>
      <c r="G19">
        <f t="shared" si="7"/>
        <v>98</v>
      </c>
      <c r="H19">
        <f t="shared" si="7"/>
        <v>98</v>
      </c>
      <c r="I19">
        <f t="shared" si="7"/>
        <v>98</v>
      </c>
      <c r="J19">
        <f t="shared" si="7"/>
        <v>98</v>
      </c>
      <c r="K19">
        <f t="shared" si="7"/>
        <v>98</v>
      </c>
      <c r="L19">
        <f t="shared" si="7"/>
        <v>98</v>
      </c>
      <c r="M19">
        <f t="shared" si="7"/>
        <v>98</v>
      </c>
    </row>
    <row r="20" spans="1:13" x14ac:dyDescent="0.25">
      <c r="A20" t="s">
        <v>40</v>
      </c>
      <c r="B20">
        <v>78</v>
      </c>
      <c r="C20">
        <v>76</v>
      </c>
      <c r="D20">
        <v>69</v>
      </c>
      <c r="E20">
        <v>68</v>
      </c>
      <c r="F20">
        <v>73</v>
      </c>
      <c r="G20">
        <v>66</v>
      </c>
      <c r="H20">
        <v>69</v>
      </c>
      <c r="I20">
        <v>59</v>
      </c>
      <c r="J20">
        <v>64</v>
      </c>
      <c r="K20">
        <v>64</v>
      </c>
    </row>
    <row r="21" spans="1:13" x14ac:dyDescent="0.25">
      <c r="A21" t="s">
        <v>39</v>
      </c>
      <c r="B21">
        <f>$B$37</f>
        <v>79</v>
      </c>
      <c r="C21">
        <f t="shared" ref="C21:M21" si="8">$B$37</f>
        <v>79</v>
      </c>
      <c r="D21">
        <f t="shared" si="8"/>
        <v>79</v>
      </c>
      <c r="E21">
        <f t="shared" si="8"/>
        <v>79</v>
      </c>
      <c r="F21">
        <f t="shared" si="8"/>
        <v>79</v>
      </c>
      <c r="G21">
        <f t="shared" si="8"/>
        <v>79</v>
      </c>
      <c r="H21">
        <f t="shared" si="8"/>
        <v>79</v>
      </c>
      <c r="I21">
        <f t="shared" si="8"/>
        <v>79</v>
      </c>
      <c r="J21">
        <f t="shared" si="8"/>
        <v>79</v>
      </c>
      <c r="K21">
        <f t="shared" si="8"/>
        <v>79</v>
      </c>
      <c r="L21">
        <f t="shared" si="8"/>
        <v>79</v>
      </c>
      <c r="M21">
        <f t="shared" si="8"/>
        <v>79</v>
      </c>
    </row>
    <row r="22" spans="1:13" x14ac:dyDescent="0.25">
      <c r="A22" t="s">
        <v>21</v>
      </c>
      <c r="B22">
        <v>91</v>
      </c>
      <c r="C22">
        <v>84</v>
      </c>
      <c r="D22">
        <v>77</v>
      </c>
      <c r="E22">
        <v>78</v>
      </c>
      <c r="F22">
        <v>77</v>
      </c>
      <c r="G22">
        <v>74</v>
      </c>
      <c r="H22">
        <v>83</v>
      </c>
      <c r="I22">
        <v>73</v>
      </c>
      <c r="J22">
        <v>72</v>
      </c>
      <c r="K22">
        <v>77</v>
      </c>
    </row>
    <row r="23" spans="1:13" x14ac:dyDescent="0.25">
      <c r="A23" t="s">
        <v>41</v>
      </c>
      <c r="B23">
        <f>$B$38</f>
        <v>82</v>
      </c>
      <c r="C23">
        <f t="shared" ref="C23:M23" si="9">$B$38</f>
        <v>82</v>
      </c>
      <c r="D23">
        <f t="shared" si="9"/>
        <v>82</v>
      </c>
      <c r="E23">
        <f t="shared" si="9"/>
        <v>82</v>
      </c>
      <c r="F23">
        <f t="shared" si="9"/>
        <v>82</v>
      </c>
      <c r="G23">
        <f t="shared" si="9"/>
        <v>82</v>
      </c>
      <c r="H23">
        <f t="shared" si="9"/>
        <v>82</v>
      </c>
      <c r="I23">
        <f t="shared" si="9"/>
        <v>82</v>
      </c>
      <c r="J23">
        <f t="shared" si="9"/>
        <v>82</v>
      </c>
      <c r="K23">
        <f t="shared" si="9"/>
        <v>82</v>
      </c>
      <c r="L23">
        <f t="shared" si="9"/>
        <v>82</v>
      </c>
      <c r="M23">
        <f t="shared" si="9"/>
        <v>82</v>
      </c>
    </row>
    <row r="24" spans="1:13" ht="14.25" customHeight="1" x14ac:dyDescent="0.25">
      <c r="A24" t="s">
        <v>22</v>
      </c>
      <c r="B24">
        <v>87</v>
      </c>
      <c r="C24">
        <v>81</v>
      </c>
      <c r="D24">
        <v>78</v>
      </c>
      <c r="E24">
        <v>80</v>
      </c>
      <c r="F24">
        <v>79</v>
      </c>
      <c r="G24">
        <v>74</v>
      </c>
      <c r="H24">
        <v>77</v>
      </c>
      <c r="I24">
        <v>74</v>
      </c>
      <c r="J24">
        <v>67</v>
      </c>
      <c r="K24">
        <v>72</v>
      </c>
    </row>
    <row r="25" spans="1:13" x14ac:dyDescent="0.25">
      <c r="A25" t="s">
        <v>35</v>
      </c>
      <c r="B25">
        <f>$B$39</f>
        <v>82</v>
      </c>
      <c r="C25">
        <f t="shared" ref="C25:M25" si="10">$B$39</f>
        <v>82</v>
      </c>
      <c r="D25">
        <f t="shared" si="10"/>
        <v>82</v>
      </c>
      <c r="E25">
        <f t="shared" si="10"/>
        <v>82</v>
      </c>
      <c r="F25">
        <f t="shared" si="10"/>
        <v>82</v>
      </c>
      <c r="G25">
        <f t="shared" si="10"/>
        <v>82</v>
      </c>
      <c r="H25">
        <f t="shared" si="10"/>
        <v>82</v>
      </c>
      <c r="I25">
        <f t="shared" si="10"/>
        <v>82</v>
      </c>
      <c r="J25">
        <f t="shared" si="10"/>
        <v>82</v>
      </c>
      <c r="K25">
        <f t="shared" si="10"/>
        <v>82</v>
      </c>
      <c r="L25">
        <f t="shared" si="10"/>
        <v>82</v>
      </c>
      <c r="M25">
        <f t="shared" si="10"/>
        <v>82</v>
      </c>
    </row>
    <row r="29" spans="1:13" x14ac:dyDescent="0.25">
      <c r="A29" t="s">
        <v>12</v>
      </c>
      <c r="B29" s="3">
        <v>14</v>
      </c>
    </row>
    <row r="30" spans="1:13" x14ac:dyDescent="0.25">
      <c r="A30" t="s">
        <v>23</v>
      </c>
      <c r="B30">
        <v>27.5</v>
      </c>
    </row>
    <row r="31" spans="1:13" x14ac:dyDescent="0.25">
      <c r="A31" t="s">
        <v>24</v>
      </c>
      <c r="B31">
        <v>20</v>
      </c>
    </row>
    <row r="32" spans="1:13" x14ac:dyDescent="0.25">
      <c r="A32" t="s">
        <v>25</v>
      </c>
      <c r="B32">
        <v>0.5</v>
      </c>
    </row>
    <row r="33" spans="1:2" x14ac:dyDescent="0.25">
      <c r="A33" t="s">
        <v>26</v>
      </c>
      <c r="B33">
        <v>100</v>
      </c>
    </row>
    <row r="34" spans="1:2" x14ac:dyDescent="0.25">
      <c r="A34" t="s">
        <v>27</v>
      </c>
      <c r="B34">
        <v>81</v>
      </c>
    </row>
    <row r="35" spans="1:2" x14ac:dyDescent="0.25">
      <c r="A35" t="s">
        <v>18</v>
      </c>
      <c r="B35">
        <v>78</v>
      </c>
    </row>
    <row r="36" spans="1:2" x14ac:dyDescent="0.25">
      <c r="A36" t="s">
        <v>20</v>
      </c>
      <c r="B36">
        <v>98</v>
      </c>
    </row>
    <row r="37" spans="1:2" x14ac:dyDescent="0.25">
      <c r="A37" t="s">
        <v>19</v>
      </c>
      <c r="B37">
        <v>79</v>
      </c>
    </row>
    <row r="38" spans="1:2" x14ac:dyDescent="0.25">
      <c r="A38" t="s">
        <v>21</v>
      </c>
      <c r="B38">
        <v>82</v>
      </c>
    </row>
    <row r="39" spans="1:2" x14ac:dyDescent="0.25">
      <c r="A39" t="s">
        <v>22</v>
      </c>
      <c r="B39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M138" sqref="M137:M1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Coweta Crossroads FSU</dc:creator>
  <cp:lastModifiedBy>Coweta Crossroads FSU</cp:lastModifiedBy>
  <dcterms:created xsi:type="dcterms:W3CDTF">2021-11-27T21:57:29Z</dcterms:created>
  <dcterms:modified xsi:type="dcterms:W3CDTF">2021-11-29T23:07:27Z</dcterms:modified>
</cp:coreProperties>
</file>